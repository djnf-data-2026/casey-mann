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R DOC Facilities" sheetId="1" r:id="rId5"/>
  </sheets>
  <definedNames/>
  <calcPr/>
</workbook>
</file>

<file path=xl/sharedStrings.xml><?xml version="1.0" encoding="utf-8"?>
<sst xmlns="http://schemas.openxmlformats.org/spreadsheetml/2006/main" count="53" uniqueCount="49">
  <si>
    <t>Facility Name</t>
  </si>
  <si>
    <t>Mailing Address</t>
  </si>
  <si>
    <t>Described Location</t>
  </si>
  <si>
    <t>Capacity</t>
  </si>
  <si>
    <t>Barbara Ester Unit</t>
  </si>
  <si>
    <t>7500 Corrections Circle, Pine Bluff, AR 71603</t>
  </si>
  <si>
    <t>West of Pine Bluff, off West 7th St. (Pine Bluff Complex) in Jefferson County</t>
  </si>
  <si>
    <t>Benny Magness Unit (formerly North Central Unit)</t>
  </si>
  <si>
    <t>10 Prison Circle, Calico Rock, AR 72519</t>
  </si>
  <si>
    <t>Benton Unit</t>
  </si>
  <si>
    <t>6701 Highway 67, Benton, AR 72015-8488</t>
  </si>
  <si>
    <t>5 miles south of Benton, off Hwy 67 in Saline Co.</t>
  </si>
  <si>
    <t>Cummins Unit</t>
  </si>
  <si>
    <t>2540 Hwy 388, Gould, AR 71643</t>
  </si>
  <si>
    <t>28 miles south of Pine Bluff, off Highway 65 in Lincoln Co.</t>
  </si>
  <si>
    <t>Delta Regional Unit</t>
  </si>
  <si>
    <t>880 East Gaines, Dermott, AR 71638-9505</t>
  </si>
  <si>
    <t>50 miles southeast of Pine Bluff in Chicot Co.</t>
  </si>
  <si>
    <t>East Arkansas Regional Unit</t>
  </si>
  <si>
    <t>326 Lee Road 603 #601, Brickeys, AR 72320</t>
  </si>
  <si>
    <t>Approximately 17 miles southeast of Forrest City in Lee County</t>
  </si>
  <si>
    <t>Grimes Unit</t>
  </si>
  <si>
    <t>300 Corrections Drive, Newport, AR 72112</t>
  </si>
  <si>
    <t>Four miles northeast of Newport, off Highway 384 in Jackson County</t>
  </si>
  <si>
    <t>J. Aaron Hawkins Sr. Center</t>
  </si>
  <si>
    <t>Hwy 365, Wrightville, AR 72183</t>
  </si>
  <si>
    <t>10 miles south of Little Rock, off Highway 365 in Wrightsville (Pulaski Co.)</t>
  </si>
  <si>
    <t>Larry B. Norris Unit (formerly Maximum Security Unit)</t>
  </si>
  <si>
    <t>2501 State Farm Rd., Tucker, AR 72168-8713</t>
  </si>
  <si>
    <t>25 miles northeast of Pine Bluff, off Hwy. 15 in Jefferson County</t>
  </si>
  <si>
    <t>McPherson Unit</t>
  </si>
  <si>
    <t>302 Corrections Drive, Newport, AR 72112</t>
  </si>
  <si>
    <t>Ouachita River Correctional Unit</t>
  </si>
  <si>
    <t>100 Walco Lane, Malvern, AR 72104</t>
  </si>
  <si>
    <t>2.3 miles south of downtown Malvern, off Highway 67 South</t>
  </si>
  <si>
    <t>Pine Bluff Unit</t>
  </si>
  <si>
    <t>890 Free Line Drive, Pine Bluff, AR 71603-1498</t>
  </si>
  <si>
    <t>West of Pine Bluff, off West 7th Ave. (Pine Bluff Complex) in Jefferson Co.</t>
  </si>
  <si>
    <t>Randall L. Williams Correctional Facility</t>
  </si>
  <si>
    <t>7206 West 7th Avenue, Pine Bluff, AR 71603</t>
  </si>
  <si>
    <t>Tucker Unit</t>
  </si>
  <si>
    <t>2400 State Farm Rd, Tucker, AR 72168</t>
  </si>
  <si>
    <t>25 miles northeast of Pine Bluff, off Highway 15 in Jefferson Co.</t>
  </si>
  <si>
    <t>Varner/Varner Supermax Unit</t>
  </si>
  <si>
    <t>320 State Highway 388, Gould, AR 71643</t>
  </si>
  <si>
    <t>28 miles south of Pine Bluff off Highway 65 in Lincoln County</t>
  </si>
  <si>
    <t>Wrightsville Unit</t>
  </si>
  <si>
    <t>8400 Highway 386, Wrightsville, AR 72183</t>
  </si>
  <si>
    <t>Total Capacity: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</si>
</sst>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1.0"/>
      <color rgb="FFFFFFFF"/>
      <name val="Arial"/>
    </font>
    <font>
      <sz val="10.0"/>
      <color theme="1"/>
      <name val="Arial"/>
    </font>
    <font>
      <b/>
      <sz val="10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shrinkToFit="0" vertical="center" wrapText="1"/>
    </xf>
    <xf borderId="1" fillId="3" fontId="2" numFmtId="0" xfId="0" applyAlignment="1" applyBorder="1" applyFont="1">
      <alignment horizontal="center" shrinkToFit="0" vertical="center" wrapText="1"/>
    </xf>
    <xf borderId="1" fillId="4" fontId="2" numFmtId="0" xfId="0" applyAlignment="1" applyBorder="1" applyFill="1" applyFont="1">
      <alignment shrinkToFit="0" vertical="center" wrapText="1"/>
    </xf>
    <xf borderId="1" fillId="4" fontId="2" numFmtId="0" xfId="0" applyAlignment="1" applyBorder="1" applyFont="1">
      <alignment horizontal="center" shrinkToFit="0" vertical="center" wrapText="1"/>
    </xf>
    <xf borderId="1" fillId="4" fontId="2" numFmtId="0" xfId="0" applyAlignment="1" applyBorder="1" applyFont="1">
      <alignment readingOrder="0" shrinkToFit="0" vertical="center" wrapText="1"/>
    </xf>
    <xf borderId="1" fillId="3" fontId="2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right"/>
    </xf>
    <xf borderId="0" fillId="0" fontId="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2.0"/>
    <col customWidth="1" min="2" max="2" width="38.0"/>
    <col customWidth="1" min="3" max="3" width="52.0"/>
    <col customWidth="1" min="4" max="4" width="12.0"/>
    <col customWidth="1" min="5" max="26" width="8.71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</row>
    <row r="2" ht="34.5" customHeight="1">
      <c r="A2" s="2" t="s">
        <v>4</v>
      </c>
      <c r="B2" s="2" t="s">
        <v>5</v>
      </c>
      <c r="C2" s="2" t="s">
        <v>6</v>
      </c>
      <c r="D2" s="3">
        <v>641.0</v>
      </c>
    </row>
    <row r="3" ht="34.5" customHeight="1">
      <c r="A3" s="4" t="s">
        <v>7</v>
      </c>
      <c r="B3" s="4" t="s">
        <v>8</v>
      </c>
      <c r="C3" s="4" t="s">
        <v>8</v>
      </c>
      <c r="D3" s="5">
        <v>800.0</v>
      </c>
    </row>
    <row r="4" ht="34.5" customHeight="1">
      <c r="A4" s="2" t="s">
        <v>9</v>
      </c>
      <c r="B4" s="2" t="s">
        <v>10</v>
      </c>
      <c r="C4" s="2" t="s">
        <v>11</v>
      </c>
      <c r="D4" s="3">
        <v>325.0</v>
      </c>
    </row>
    <row r="5" ht="34.5" customHeight="1">
      <c r="A5" s="4" t="s">
        <v>12</v>
      </c>
      <c r="B5" s="6" t="s">
        <v>13</v>
      </c>
      <c r="C5" s="4" t="s">
        <v>14</v>
      </c>
      <c r="D5" s="5">
        <v>1876.0</v>
      </c>
    </row>
    <row r="6" ht="34.5" customHeight="1">
      <c r="A6" s="2" t="s">
        <v>15</v>
      </c>
      <c r="B6" s="2" t="s">
        <v>16</v>
      </c>
      <c r="C6" s="2" t="s">
        <v>17</v>
      </c>
      <c r="D6" s="3">
        <v>599.0</v>
      </c>
    </row>
    <row r="7" ht="34.5" customHeight="1">
      <c r="A7" s="2" t="s">
        <v>18</v>
      </c>
      <c r="B7" s="7" t="s">
        <v>19</v>
      </c>
      <c r="C7" s="2" t="s">
        <v>20</v>
      </c>
      <c r="D7" s="3">
        <v>1648.0</v>
      </c>
    </row>
    <row r="8" ht="34.5" customHeight="1">
      <c r="A8" s="4" t="s">
        <v>21</v>
      </c>
      <c r="B8" s="4" t="s">
        <v>22</v>
      </c>
      <c r="C8" s="4" t="s">
        <v>23</v>
      </c>
      <c r="D8" s="5">
        <v>1012.0</v>
      </c>
    </row>
    <row r="9" ht="34.5" customHeight="1">
      <c r="A9" s="2" t="s">
        <v>24</v>
      </c>
      <c r="B9" s="7" t="s">
        <v>25</v>
      </c>
      <c r="C9" s="2" t="s">
        <v>26</v>
      </c>
      <c r="D9" s="3">
        <v>212.0</v>
      </c>
    </row>
    <row r="10" ht="34.5" customHeight="1">
      <c r="A10" s="4" t="s">
        <v>27</v>
      </c>
      <c r="B10" s="4" t="s">
        <v>28</v>
      </c>
      <c r="C10" s="4" t="s">
        <v>29</v>
      </c>
      <c r="D10" s="5">
        <v>532.0</v>
      </c>
    </row>
    <row r="11" ht="34.5" customHeight="1">
      <c r="A11" s="2" t="s">
        <v>30</v>
      </c>
      <c r="B11" s="2" t="s">
        <v>31</v>
      </c>
      <c r="C11" s="2" t="s">
        <v>23</v>
      </c>
      <c r="D11" s="3">
        <v>1050.0</v>
      </c>
    </row>
    <row r="12" ht="34.5" customHeight="1">
      <c r="A12" s="4" t="s">
        <v>32</v>
      </c>
      <c r="B12" s="4" t="s">
        <v>33</v>
      </c>
      <c r="C12" s="4" t="s">
        <v>34</v>
      </c>
      <c r="D12" s="5">
        <v>1782.0</v>
      </c>
    </row>
    <row r="13" ht="34.5" customHeight="1">
      <c r="A13" s="2" t="s">
        <v>35</v>
      </c>
      <c r="B13" s="2" t="s">
        <v>36</v>
      </c>
      <c r="C13" s="2" t="s">
        <v>37</v>
      </c>
      <c r="D13" s="3">
        <v>430.0</v>
      </c>
    </row>
    <row r="14" ht="34.5" customHeight="1">
      <c r="A14" s="4" t="s">
        <v>38</v>
      </c>
      <c r="B14" s="4" t="s">
        <v>39</v>
      </c>
      <c r="C14" s="4" t="s">
        <v>37</v>
      </c>
      <c r="D14" s="5">
        <v>562.0</v>
      </c>
    </row>
    <row r="15" ht="34.5" customHeight="1">
      <c r="A15" s="2" t="s">
        <v>40</v>
      </c>
      <c r="B15" s="7" t="s">
        <v>41</v>
      </c>
      <c r="C15" s="2" t="s">
        <v>42</v>
      </c>
      <c r="D15" s="3">
        <v>968.0</v>
      </c>
    </row>
    <row r="16" ht="34.5" customHeight="1">
      <c r="A16" s="4" t="s">
        <v>43</v>
      </c>
      <c r="B16" s="6" t="s">
        <v>44</v>
      </c>
      <c r="C16" s="4" t="s">
        <v>45</v>
      </c>
      <c r="D16" s="5">
        <v>1714.0</v>
      </c>
    </row>
    <row r="17" ht="34.5" customHeight="1">
      <c r="A17" s="4" t="s">
        <v>46</v>
      </c>
      <c r="B17" s="6" t="s">
        <v>47</v>
      </c>
      <c r="C17" s="4" t="s">
        <v>26</v>
      </c>
      <c r="D17" s="5">
        <v>850.0</v>
      </c>
    </row>
    <row r="18">
      <c r="C18" s="8" t="s">
        <v>48</v>
      </c>
      <c r="D18" s="9">
        <f>SUMIF(D2:D17,"&lt;&gt;N/A",D2:D17)</f>
        <v>15001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rintOptions/>
  <pageMargins bottom="1.0" footer="0.0" header="0.0" left="0.75" right="0.75" top="1.0"/>
  <pageSetup orientation="landscape"/>
  <drawing r:id="rId1"/>
</worksheet>
</file>